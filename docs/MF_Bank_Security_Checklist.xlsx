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bile &amp; Web (34)" sheetId="1" state="visible" r:id="rId3"/>
    <sheet name="Web Security" sheetId="2" state="visible" r:id="rId4"/>
    <sheet name="Summary" sheetId="3" state="visible" r:id="rId5"/>
  </sheets>
  <definedNames>
    <definedName function="false" hidden="true" localSheetId="0" name="_xlnm._FilterDatabase" vbProcedure="false">'Mobile &amp; Web (34)'!$A$1:$J$35</definedName>
    <definedName function="false" hidden="true" localSheetId="1" name="_xlnm._FilterDatabase" vbProcedure="false">'Web Security'!$A$1:$E$36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<sst xmlns="http://schemas.openxmlformats.org/spreadsheetml/2006/main" count="502" uniqueCount="267">
  <si>
    <t xml:space="preserve">Sl</t>
  </si>
  <si>
    <t xml:space="preserve">Category</t>
  </si>
  <si>
    <t xml:space="preserve">Security Control</t>
  </si>
  <si>
    <t xml:space="preserve">Android</t>
  </si>
  <si>
    <t xml:space="preserve">iOS</t>
  </si>
  <si>
    <t xml:space="preserve">Web</t>
  </si>
  <si>
    <t xml:space="preserve">Default response</t>
  </si>
  <si>
    <t xml:space="preserve">How it is implemented</t>
  </si>
  <si>
    <t xml:space="preserve">Where (code / setting)</t>
  </si>
  <si>
    <t xml:space="preserve">Comments</t>
  </si>
  <si>
    <t xml:space="preserve">Device Security</t>
  </si>
  <si>
    <t xml:space="preserve">Device Policy</t>
  </si>
  <si>
    <t xml:space="preserve">Added</t>
  </si>
  <si>
    <t xml:space="preserve">N/A</t>
  </si>
  <si>
    <t xml:space="preserve">Warn</t>
  </si>
  <si>
    <t xml:space="preserve">Checks that a screen lock (PIN / pattern / password / biometric) is set: KeyguardManager.isDeviceSecure (Android), LAContext deviceOwnerAuthentication (iOS).</t>
  </si>
  <si>
    <t xml:space="preserve">isDeviceSecure</t>
  </si>
  <si>
    <t xml:space="preserve">Web: browsers can't read device settings.</t>
  </si>
  <si>
    <t xml:space="preserve">Virtual Device</t>
  </si>
  <si>
    <t xml:space="preserve">Existing</t>
  </si>
  <si>
    <t xml:space="preserve">Block</t>
  </si>
  <si>
    <t xml:space="preserve">Emulator heuristics (goldfish / ranchu / SDK / Genymotion) on Android; simulator build flag on iOS.</t>
  </si>
  <si>
    <t xml:space="preserve">isSimulator, getHardware</t>
  </si>
  <si>
    <t xml:space="preserve">Secondary Profile</t>
  </si>
  <si>
    <t xml:space="preserve">Detects secondary user, guest or work profile (UserManager.isSystemUser).</t>
  </si>
  <si>
    <t xml:space="preserve">isSecondaryProfile</t>
  </si>
  <si>
    <t xml:space="preserve">iOS has no secondary users or work profiles.</t>
  </si>
  <si>
    <t xml:space="preserve">Code Injection</t>
  </si>
  <si>
    <t xml:space="preserve">Partial</t>
  </si>
  <si>
    <t xml:space="preserve">Isolate</t>
  </si>
  <si>
    <t xml:space="preserve">Android: Xposed / LSPosed / Substrate / Riru / Zygisk libraries in memory, Xposed classes, hooked stack frames, LD_PRELOAD. iOS: DYLD_INSERT_LIBRARIES and injected dylibs.</t>
  </si>
  <si>
    <t xml:space="preserve">isCodeInjected</t>
  </si>
  <si>
    <t xml:space="preserve">Web: script injection blocked by Content-Security-Policy (script-src 'self'); violations reported.</t>
  </si>
  <si>
    <t xml:space="preserve">Secondary Environment</t>
  </si>
  <si>
    <t xml:space="preserve">Detects app cloners / virtual containers (Parallel Space, Dual Apps, VirtualApp…): app data folder outside /data/user/&lt;n&gt;/&lt;package&gt;, cloner code in memory.</t>
  </si>
  <si>
    <t xml:space="preserve">isSecondaryEnvironment</t>
  </si>
  <si>
    <t xml:space="preserve">iOS doesn't allow app cloning.</t>
  </si>
  <si>
    <t xml:space="preserve">Frida Detection</t>
  </si>
  <si>
    <t xml:space="preserve">Frida libraries in memory (/proc/self/maps, dyld images) + frida-server default ports 27042/27043.</t>
  </si>
  <si>
    <t xml:space="preserve">isFridaDetected</t>
  </si>
  <si>
    <t xml:space="preserve">Root/Jailbreak</t>
  </si>
  <si>
    <t xml:space="preserve">Android: test-keys, su binaries, Magisk paths, `which su`. iOS: jailbreak files, sandbox-escape write test, hooking libraries.</t>
  </si>
  <si>
    <t xml:space="preserve">isDeviceJailbroken</t>
  </si>
  <si>
    <t xml:space="preserve">Stronger: add server-verified Play Integrity / App Attest.</t>
  </si>
  <si>
    <t xml:space="preserve">Network Security</t>
  </si>
  <si>
    <t xml:space="preserve">VPN Detection</t>
  </si>
  <si>
    <t xml:space="preserve">Android TRANSPORT_VPN; iOS tunnel interfaces (utun/ppp/ipsec).</t>
  </si>
  <si>
    <t xml:space="preserve">isVPNConnected</t>
  </si>
  <si>
    <t xml:space="preserve">Warn only: many legitimate customers use a VPN.</t>
  </si>
  <si>
    <t xml:space="preserve">Installation Source Validation</t>
  </si>
  <si>
    <t xml:space="preserve">Installer must be Google Play / Amazon (Android); App Store receipt, TestFlight treated as not-store (iOS).</t>
  </si>
  <si>
    <t xml:space="preserve">isAppInstalledFromAppStore</t>
  </si>
  <si>
    <t xml:space="preserve">Set EXPO_PUBLIC_REQUIRE_STORE_INSTALL=true to block in production.</t>
  </si>
  <si>
    <t xml:space="preserve">Unsecured Wi-Fi</t>
  </si>
  <si>
    <t xml:space="preserve">Not possible</t>
  </si>
  <si>
    <t xml:space="preserve">Open or WEP Wi-Fi detected from the connected network's security type (Android 12+).</t>
  </si>
  <si>
    <t xml:space="preserve">isUnsecuredWifi</t>
  </si>
  <si>
    <t xml:space="preserve">iOS needs location permission + special entitlement to read Wi-Fi details. Android &lt; 12: unknown.</t>
  </si>
  <si>
    <t xml:space="preserve">SSL Pinning</t>
  </si>
  <si>
    <t xml:space="preserve">Build</t>
  </si>
  <si>
    <t xml:space="preserve">Public-key pins: Android network_security_config pin-set (release: no cleartext); iOS NSPinnedDomains.</t>
  </si>
  <si>
    <t xml:space="preserve">plugins/withSslPinning.js, app.json</t>
  </si>
  <si>
    <t xml:space="preserve">Needs the bank's real SPKI pins (2 per domain). Web: browsers don't allow pinning — HTTPS + HSTS (deploy/ configs).</t>
  </si>
  <si>
    <t xml:space="preserve">Proxy Network</t>
  </si>
  <si>
    <t xml:space="preserve">JVM proxy properties + Wi-Fi proxy (Android); system HTTP/HTTPS/PAC proxy (iOS).</t>
  </si>
  <si>
    <t xml:space="preserve">isProxy</t>
  </si>
  <si>
    <t xml:space="preserve">Application Security</t>
  </si>
  <si>
    <t xml:space="preserve">APK Locking</t>
  </si>
  <si>
    <t xml:space="preserve">The app refuses to run unless signed by the bank's certificate (re-signed / repackaged APKs are locked out).</t>
  </si>
  <si>
    <t xml:space="preserve">getSigningCertificates + EXPO_PUBLIC_ANDROID_SIGNING_SHA256</t>
  </si>
  <si>
    <t xml:space="preserve">Needs the Play App Signing + upload key SHA-256 fingerprints. iOS: enforced by Apple code signing.</t>
  </si>
  <si>
    <t xml:space="preserve">Debugger Detection</t>
  </si>
  <si>
    <t xml:space="preserve">Warn (optional)</t>
  </si>
  <si>
    <t xml:space="preserve">Debugger attached: Debug.isDebuggerConnected (Android), sysctl P_TRACED (iOS).</t>
  </si>
  <si>
    <t xml:space="preserve">isUsbDebuggingEnabled</t>
  </si>
  <si>
    <t xml:space="preserve">Client asked for optional: warns by default; EXPO_PUBLIC_BLOCK_DEBUGGER=true blocks. Web: dev-tools shortcuts blocked (deterrent only).</t>
  </si>
  <si>
    <t xml:space="preserve">App Blacklisting</t>
  </si>
  <si>
    <t xml:space="preserve">Detects root managers, hooking frameworks, traffic sniffers, app cloners (Android packages via &lt;queries&gt;; iOS URL schemes). Remote config can add apps.</t>
  </si>
  <si>
    <t xml:space="preserve">getInstalledPackages, security-lists.json</t>
  </si>
  <si>
    <t xml:space="preserve">Reverse Engineering</t>
  </si>
  <si>
    <t xml:space="preserve">Android release: R8 shrinking + obfuscation + resource shrinking; JS compiled to Hermes bytecode; logs stripped. iOS release strips symbols.</t>
  </si>
  <si>
    <t xml:space="preserve">plugins/withAndroidHardening.js</t>
  </si>
  <si>
    <t xml:space="preserve">Web: JS obfuscation, no source maps (existing).</t>
  </si>
  <si>
    <t xml:space="preserve">Runtime Manipulation</t>
  </si>
  <si>
    <t xml:space="preserve">Hooking / instrumentation detection — same checks as Code Injection (#4) and Frida (#6), re-run every minute.</t>
  </si>
  <si>
    <t xml:space="preserve">isCodeInjected, isFridaDetected</t>
  </si>
  <si>
    <t xml:space="preserve">App Tampering</t>
  </si>
  <si>
    <t xml:space="preserve">Android: wrong package id, debuggable release build, signature (#13). iOS: wrong bundle id, decrypted (dumped) App Store binary.</t>
  </si>
  <si>
    <t xml:space="preserve">getAppIntegrity</t>
  </si>
  <si>
    <t xml:space="preserve">Web: CSP script-src 'self', no third-party scripts.</t>
  </si>
  <si>
    <t xml:space="preserve">Anti Malware Control</t>
  </si>
  <si>
    <t xml:space="preserve">Device Admin Permission</t>
  </si>
  <si>
    <t xml:space="preserve">Lists active device-admin apps; non-system apps outside the MDM allow-list are flagged.</t>
  </si>
  <si>
    <t xml:space="preserve">getDeviceAdmins, security-lists.json</t>
  </si>
  <si>
    <t xml:space="preserve">iOS has no device-admin apps.</t>
  </si>
  <si>
    <t xml:space="preserve">Accessibility Permission</t>
  </si>
  <si>
    <t xml:space="preserve">Lists enabled accessibility services; non-system services outside the allow-list (TalkBack, password managers…) are flagged.</t>
  </si>
  <si>
    <t xml:space="preserve">getAccessibilityServices</t>
  </si>
  <si>
    <t xml:space="preserve">iOS doesn't allow third-party accessibility services.</t>
  </si>
  <si>
    <t xml:space="preserve">Keylogger</t>
  </si>
  <si>
    <t xml:space="preserve">Android: third-party (non-system, not allow-listed) keyboard detected. Inputs disable autocorrect, suggestions and copy/paste; secure password fields.</t>
  </si>
  <si>
    <t xml:space="preserve">getKeyboard</t>
  </si>
  <si>
    <t xml:space="preserve">iOS never gives third-party keyboards access to password fields. Web: virtual keyboard for password (existing).</t>
  </si>
  <si>
    <t xml:space="preserve">Tapjacking</t>
  </si>
  <si>
    <t xml:space="preserve">Always on</t>
  </si>
  <si>
    <t xml:space="preserve">Android: touches through another app's overlay are dropped (filterTouchesWhenObscured on the root view).</t>
  </si>
  <si>
    <t xml:space="preserve">enableOverlayProtection</t>
  </si>
  <si>
    <t xml:space="preserve">Web equivalent = clickjacking: frame-busting guard + frame-ancestors / X-Frame-Options headers.</t>
  </si>
  <si>
    <t xml:space="preserve">StrandHogg</t>
  </si>
  <si>
    <t xml:space="preserve">taskAffinity="" and allowTaskReparenting=false on the app and main activity, so other apps can't hijack the task.</t>
  </si>
  <si>
    <t xml:space="preserve">Android only.</t>
  </si>
  <si>
    <t xml:space="preserve">User Behaviour Controls</t>
  </si>
  <si>
    <t xml:space="preserve">Internet Call</t>
  </si>
  <si>
    <t xml:space="preserve">Active VoIP call (WhatsApp, Teams…): AudioManager MODE_IN_COMMUNICATION (Android); CallKit calls (iOS).</t>
  </si>
  <si>
    <t xml:space="preserve">getCallState</t>
  </si>
  <si>
    <t xml:space="preserve">Warns the customer never to share OTPs during a call.</t>
  </si>
  <si>
    <t xml:space="preserve">Screenshot</t>
  </si>
  <si>
    <t xml:space="preserve">Screenshots and recordings blocked in release builds (FLAG_SECURE / expo-screen-capture).</t>
  </si>
  <si>
    <t xml:space="preserve">useAppSecurity</t>
  </si>
  <si>
    <t xml:space="preserve">Browsers can't block screenshots.</t>
  </si>
  <si>
    <t xml:space="preserve">Screen Overlay</t>
  </si>
  <si>
    <t xml:space="preserve">Android 12+: other apps' overlays hidden over MF Bank (setHideOverlayWindows); older versions covered by #22.</t>
  </si>
  <si>
    <t xml:space="preserve">Screen Sharing</t>
  </si>
  <si>
    <t xml:space="preserve">Casting / mirroring (Android presentation display); recording, AirPlay, sharing (iOS isCaptured). App content hidden while active.</t>
  </si>
  <si>
    <t xml:space="preserve">isScreenBeingCapturedOrShared</t>
  </si>
  <si>
    <t xml:space="preserve">Browsers can't detect screen sharing.</t>
  </si>
  <si>
    <t xml:space="preserve">Active Voice Call</t>
  </si>
  <si>
    <t xml:space="preserve">Phone call in progress: AudioManager MODE_IN_CALL / ringing (Android, no permission); CallKit (iOS).</t>
  </si>
  <si>
    <t xml:space="preserve">Remote Desktop Protocol</t>
  </si>
  <si>
    <t xml:space="preserve">Remote-control apps (AnyDesk, TeamViewer QuickSupport, RustDesk, AirDroid…) detected; their screen view is already blanked by FLAG_SECURE and their input by #22/#26.</t>
  </si>
  <si>
    <t xml:space="preserve">getInstalledPackages (REMOTE_ACCESS_APPS)</t>
  </si>
  <si>
    <t xml:space="preserve">Telematics Reporting</t>
  </si>
  <si>
    <t xml:space="preserve">Over the Air Update</t>
  </si>
  <si>
    <t xml:space="preserve">—</t>
  </si>
  <si>
    <t xml:space="preserve">Remote security config (bank-hosted JSON): minimum app version (forced-update screen), policy overrides, extra blacklisted apps — no app release needed.</t>
  </si>
  <si>
    <t xml:space="preserve">shared/security/remoteSecurityConfig.ts, EXPO_PUBLIC_SECURITY_CONFIG_URL</t>
  </si>
  <si>
    <t xml:space="preserve">Web: every deployment reaches users immediately.</t>
  </si>
  <si>
    <t xml:space="preserve">Automate Threat Alerts</t>
  </si>
  <si>
    <t xml:space="preserve">Every finding (and web framing / CSP violations) is sent to the backend once per run through the encrypted API.</t>
  </si>
  <si>
    <t xml:space="preserve">shared/security/threatReporter.ts</t>
  </si>
  <si>
    <t xml:space="preserve">Needs a backend service code: EXPO_PUBLIC_ / VITE_THREAT_REPORT_SERVICE.</t>
  </si>
  <si>
    <t xml:space="preserve">Control Response to Risk</t>
  </si>
  <si>
    <t xml:space="preserve">Per-threat response: isolate / block / warn / report, set in securityPolicy.ts and overridable remotely (#30).</t>
  </si>
  <si>
    <t xml:space="preserve">core/security/securityPolicy.ts</t>
  </si>
  <si>
    <t xml:space="preserve">Web: fixed responses (block page when framed / not HTTPS).</t>
  </si>
  <si>
    <t xml:space="preserve">Live Threat Monitoring</t>
  </si>
  <si>
    <t xml:space="preserve">Checks at start-up, on every return to the foreground, live checks every 5 s, full checks every 60 s.</t>
  </si>
  <si>
    <t xml:space="preserve">useDeviceSecurity</t>
  </si>
  <si>
    <t xml:space="preserve">Web: session monitors (inactivity, hidden tab, absolute limit) and CSP violations.</t>
  </si>
  <si>
    <t xml:space="preserve">Device Isolation</t>
  </si>
  <si>
    <t xml:space="preserve">On an 'isolate' threat: session ended, app data cleared, app locked for the run, bank notified.</t>
  </si>
  <si>
    <t xml:space="preserve">Permanent blocking of the device needs the backend (it receives the report with device details).</t>
  </si>
  <si>
    <t xml:space="preserve">Control</t>
  </si>
  <si>
    <t xml:space="preserve">Status</t>
  </si>
  <si>
    <t xml:space="preserve">Where</t>
  </si>
  <si>
    <t xml:space="preserve">Browser security</t>
  </si>
  <si>
    <t xml:space="preserve">Content-Security-Policy</t>
  </si>
  <si>
    <t xml:space="preserve">Existing + strengthened</t>
  </si>
  <si>
    <t xml:space="preserve">script-src 'self', object-src/frame-src 'none', base-uri, form-action, upgrade-insecure-requests (added at build).</t>
  </si>
  <si>
    <t xml:space="preserve">apps/web/vite.config.ts</t>
  </si>
  <si>
    <t xml:space="preserve">Clickjacking (frame-busting)</t>
  </si>
  <si>
    <t xml:space="preserve">App refuses to start inside another site's frame and reports it.</t>
  </si>
  <si>
    <t xml:space="preserve">core/security/browserGuards.ts</t>
  </si>
  <si>
    <t xml:space="preserve">frame-ancestors / X-Frame-Options</t>
  </si>
  <si>
    <t xml:space="preserve">Set by the web server (cannot be set from &lt;meta&gt;).</t>
  </si>
  <si>
    <t xml:space="preserve">apps/web/deploy/nginx.conf, web.config</t>
  </si>
  <si>
    <t xml:space="preserve">HTTPS only + HSTS</t>
  </si>
  <si>
    <t xml:space="preserve">Refuses to run outside a secure context; HSTS (2 years, preload) + HTTP→HTTPS redirect on the server.</t>
  </si>
  <si>
    <t xml:space="preserve">browserGuards.ts, deploy/</t>
  </si>
  <si>
    <t xml:space="preserve">Other security headers</t>
  </si>
  <si>
    <t xml:space="preserve">X-Content-Type-Options, Referrer-Policy no-referrer, Permissions-Policy, COOP, CORP; server banner removed.</t>
  </si>
  <si>
    <t xml:space="preserve">apps/web/deploy/</t>
  </si>
  <si>
    <t xml:space="preserve">XSS</t>
  </si>
  <si>
    <t xml:space="preserve">React escaping; no dangerouslySetInnerHTML / eval / innerHTML in app code (verified); input sanitising on every keystroke.</t>
  </si>
  <si>
    <t xml:space="preserve">shared formatInput</t>
  </si>
  <si>
    <t xml:space="preserve">Code protection</t>
  </si>
  <si>
    <t xml:space="preserve">JS obfuscation, no source maps, console logs off in production.</t>
  </si>
  <si>
    <t xml:space="preserve">vite.config.ts</t>
  </si>
  <si>
    <t xml:space="preserve">Inspection deterrents</t>
  </si>
  <si>
    <t xml:space="preserve">Right-click, F12 / dev-tools shortcuts, view-source, text selection blocked (production).</t>
  </si>
  <si>
    <t xml:space="preserve">useSecurityRestrictions.ts</t>
  </si>
  <si>
    <t xml:space="preserve">Clipboard</t>
  </si>
  <si>
    <t xml:space="preserve">Copy / cut / paste blocked in production; inputs autocomplete off.</t>
  </si>
  <si>
    <t xml:space="preserve">Virtual keyboard for the password.</t>
  </si>
  <si>
    <t xml:space="preserve">VirtualKeyboard.tsx</t>
  </si>
  <si>
    <t xml:space="preserve">CSP violation reporting</t>
  </si>
  <si>
    <t xml:space="preserve">securitypolicyviolation events sent to the threat reporter.</t>
  </si>
  <si>
    <t xml:space="preserve">browserGuards.ts</t>
  </si>
  <si>
    <t xml:space="preserve">API security</t>
  </si>
  <si>
    <t xml:space="preserve">Message encryption</t>
  </si>
  <si>
    <t xml:space="preserve">AES-GCM body, HMAC-SHA512, RSA-wrapped one-time keys (same as MF-React-SCU).</t>
  </si>
  <si>
    <t xml:space="preserve">packages/shared/src/security</t>
  </si>
  <si>
    <t xml:space="preserve">API origin hidden / no CORS</t>
  </si>
  <si>
    <t xml:space="preserve">Reverse proxy /api on the web server.</t>
  </si>
  <si>
    <t xml:space="preserve">deploy/</t>
  </si>
  <si>
    <t xml:space="preserve">Timeouts &amp; error handling</t>
  </si>
  <si>
    <t xml:space="preserve">60 s request timeout; generic error messages; response validation.</t>
  </si>
  <si>
    <t xml:space="preserve">shared/api</t>
  </si>
  <si>
    <t xml:space="preserve">Brute-force protection</t>
  </si>
  <si>
    <t xml:space="preserve">Client cooldown after 3 failed logins (30 s, doubling, max 5 min). Server lockout still required.</t>
  </si>
  <si>
    <t xml:space="preserve">shared/hooks/useLogin.ts</t>
  </si>
  <si>
    <t xml:space="preserve">Replay protection</t>
  </si>
  <si>
    <t xml:space="preserve">New keys + HMAC per request. Timestamp / nonce validation must be done by the server.</t>
  </si>
  <si>
    <t xml:space="preserve">Backend</t>
  </si>
  <si>
    <t xml:space="preserve">Sensitive data in URLs</t>
  </si>
  <si>
    <t xml:space="preserve">Never — data travels in encrypted bodies and in-memory state.</t>
  </si>
  <si>
    <t xml:space="preserve">Authentication</t>
  </si>
  <si>
    <t xml:space="preserve">Login</t>
  </si>
  <si>
    <t xml:space="preserve">Username + password + secure-random captcha, then OTP.</t>
  </si>
  <si>
    <t xml:space="preserve">useLogin.ts</t>
  </si>
  <si>
    <t xml:space="preserve">Sensitive actions</t>
  </si>
  <si>
    <t xml:space="preserve">OTP for transfers to others and every profile change; confirmation step for own transfers.</t>
  </si>
  <si>
    <t xml:space="preserve">useAuthorisedAction.ts</t>
  </si>
  <si>
    <t xml:space="preserve">Password policy</t>
  </si>
  <si>
    <t xml:space="preserve">Live checklist; password change ends the session.</t>
  </si>
  <si>
    <t xml:space="preserve">validators.ts</t>
  </si>
  <si>
    <t xml:space="preserve">Session management</t>
  </si>
  <si>
    <t xml:space="preserve">In-memory session</t>
  </si>
  <si>
    <t xml:space="preserve">No tokens in localStorage / cookies; refresh = logout.</t>
  </si>
  <si>
    <t xml:space="preserve">shared store</t>
  </si>
  <si>
    <t xml:space="preserve">Inactivity timeout</t>
  </si>
  <si>
    <t xml:space="preserve">Default 5 minutes; hidden-tab logout.</t>
  </si>
  <si>
    <t xml:space="preserve">useInactivityLogout.ts</t>
  </si>
  <si>
    <t xml:space="preserve">Absolute session limit</t>
  </si>
  <si>
    <t xml:space="preserve">Logged out after 30 minutes even when active (VITE_SESSION_MAX_MIN).</t>
  </si>
  <si>
    <t xml:space="preserve">shared/hooks/useSessionLimit.ts</t>
  </si>
  <si>
    <t xml:space="preserve">Server timeout / forced logout</t>
  </si>
  <si>
    <t xml:space="preserve">statuscodep 98, Status 05, codes 03/04 reset the session.</t>
  </si>
  <si>
    <t xml:space="preserve">requestConfig.ts</t>
  </si>
  <si>
    <t xml:space="preserve">Back/forward &amp; unload guards</t>
  </si>
  <si>
    <t xml:space="preserve">Confirm logout on browser back/forward; warning before leaving.</t>
  </si>
  <si>
    <t xml:space="preserve">useBackForwardGuard.ts</t>
  </si>
  <si>
    <t xml:space="preserve">OWASP Top 10</t>
  </si>
  <si>
    <t xml:space="preserve">A01 Broken access control</t>
  </si>
  <si>
    <t xml:space="preserve">Route guards in the app; authorisation must be enforced by the server.</t>
  </si>
  <si>
    <t xml:space="preserve">RequireAuth.tsx / Backend</t>
  </si>
  <si>
    <t xml:space="preserve">A02 Cryptographic failures</t>
  </si>
  <si>
    <t xml:space="preserve">Message encryption + HTTPS + HSTS.</t>
  </si>
  <si>
    <t xml:space="preserve">A03 Injection</t>
  </si>
  <si>
    <t xml:space="preserve">Input sanitising, React escaping, CSP.</t>
  </si>
  <si>
    <t xml:space="preserve">A04 Insecure design</t>
  </si>
  <si>
    <t xml:space="preserve">OTP + confirmation for sensitive actions, limits, single logout path.</t>
  </si>
  <si>
    <t xml:space="preserve">A05 Security misconfiguration</t>
  </si>
  <si>
    <t xml:space="preserve">Server header configs, no source maps, server banner hidden.</t>
  </si>
  <si>
    <t xml:space="preserve">A06 Vulnerable components</t>
  </si>
  <si>
    <t xml:space="preserve">npm run security:audit (fails on high severity) — run in CI.</t>
  </si>
  <si>
    <t xml:space="preserve">package.json</t>
  </si>
  <si>
    <t xml:space="preserve">A07 Identification &amp; auth failures</t>
  </si>
  <si>
    <t xml:space="preserve">Captcha, OTP, cooldown, password policy.</t>
  </si>
  <si>
    <t xml:space="preserve">A08 Software &amp; data integrity</t>
  </si>
  <si>
    <t xml:space="preserve">script-src 'self', no third-party scripts, npm ci with lockfile.</t>
  </si>
  <si>
    <t xml:space="preserve">A09 Logging &amp; monitoring</t>
  </si>
  <si>
    <t xml:space="preserve">Threat reporter ready; needs the backend service code.</t>
  </si>
  <si>
    <t xml:space="preserve">threatReporter.ts</t>
  </si>
  <si>
    <t xml:space="preserve">A10 SSRF</t>
  </si>
  <si>
    <t xml:space="preserve">Server-side risk; the web app makes no server-side requests.</t>
  </si>
  <si>
    <t xml:space="preserve">Web (34 list)</t>
  </si>
  <si>
    <t xml:space="preserve">Web checklist</t>
  </si>
  <si>
    <t xml:space="preserve">Total</t>
  </si>
  <si>
    <t xml:space="preserve">Legend</t>
  </si>
  <si>
    <t xml:space="preserve">Existing = already in MF Bank before this change</t>
  </si>
  <si>
    <t xml:space="preserve">Added = implemented in this change</t>
  </si>
  <si>
    <t xml:space="preserve">Partial = covered with a limitation (see Comments)</t>
  </si>
  <si>
    <t xml:space="preserve">N/A = the platform has no such risk / feature</t>
  </si>
  <si>
    <t xml:space="preserve">Not possible = no API on that platform</t>
  </si>
  <si>
    <t xml:space="preserve">Backend = must be enforced by the server</t>
  </si>
  <si>
    <t xml:space="preserve">Default response is set in apps/mobile/src/core/security/securityPolicy.ts and can be changed remotely (#30).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</si>
</sst>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183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F4B18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  <dxf>
      <fill>
        <patternFill>
          <bgColor rgb="FFFFEB9C"/>
        </patternFill>
      </fill>
    </dxf>
    <dxf>
      <fill>
        <patternFill>
          <bgColor rgb="FFE7E6E6"/>
        </patternFill>
      </fill>
    </dxf>
    <dxf>
      <fill>
        <patternFill>
          <bgColor rgb="FFF8CBAD"/>
        </patternFill>
      </fill>
    </dxf>
    <dxf>
      <fill>
        <patternFill>
          <bgColor rgb="FFE4DFEC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DFEC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6" min="4" style="0" width="13"/>
    <col collapsed="false" customWidth="true" hidden="false" outlineLevel="0" max="7" min="7" style="0" width="15"/>
    <col collapsed="false" customWidth="true" hidden="false" outlineLevel="0" max="8" min="8" style="0" width="60"/>
    <col collapsed="false" customWidth="true" hidden="false" outlineLevel="0" max="9" min="9" style="0" width="34"/>
    <col collapsed="false" customWidth="true" hidden="false" outlineLevel="0" max="10" min="10" style="0" width="5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n">
        <v>1</v>
      </c>
      <c r="B2" s="2" t="s">
        <v>10</v>
      </c>
      <c r="C2" s="2" t="s">
        <v>11</v>
      </c>
      <c r="D2" s="3" t="s">
        <v>12</v>
      </c>
      <c r="E2" s="3" t="s">
        <v>12</v>
      </c>
      <c r="F2" s="3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customFormat="false" ht="23.85" hidden="false" customHeight="false" outlineLevel="0" collapsed="false">
      <c r="A3" s="2" t="n">
        <v>2</v>
      </c>
      <c r="B3" s="2" t="s">
        <v>10</v>
      </c>
      <c r="C3" s="2" t="s">
        <v>18</v>
      </c>
      <c r="D3" s="3" t="s">
        <v>19</v>
      </c>
      <c r="E3" s="3" t="s">
        <v>19</v>
      </c>
      <c r="F3" s="3" t="s">
        <v>13</v>
      </c>
      <c r="G3" s="2" t="s">
        <v>20</v>
      </c>
      <c r="H3" s="2" t="s">
        <v>21</v>
      </c>
      <c r="I3" s="2" t="s">
        <v>22</v>
      </c>
      <c r="J3" s="2"/>
    </row>
    <row r="4" customFormat="false" ht="23.85" hidden="false" customHeight="false" outlineLevel="0" collapsed="false">
      <c r="A4" s="2" t="n">
        <v>3</v>
      </c>
      <c r="B4" s="2" t="s">
        <v>10</v>
      </c>
      <c r="C4" s="2" t="s">
        <v>23</v>
      </c>
      <c r="D4" s="3" t="s">
        <v>12</v>
      </c>
      <c r="E4" s="3" t="s">
        <v>13</v>
      </c>
      <c r="F4" s="3" t="s">
        <v>13</v>
      </c>
      <c r="G4" s="2" t="s">
        <v>14</v>
      </c>
      <c r="H4" s="2" t="s">
        <v>24</v>
      </c>
      <c r="I4" s="2" t="s">
        <v>25</v>
      </c>
      <c r="J4" s="2" t="s">
        <v>26</v>
      </c>
    </row>
    <row r="5" customFormat="false" ht="35.05" hidden="false" customHeight="false" outlineLevel="0" collapsed="false">
      <c r="A5" s="2" t="n">
        <v>4</v>
      </c>
      <c r="B5" s="2" t="s">
        <v>10</v>
      </c>
      <c r="C5" s="2" t="s">
        <v>27</v>
      </c>
      <c r="D5" s="3" t="s">
        <v>12</v>
      </c>
      <c r="E5" s="3" t="s">
        <v>12</v>
      </c>
      <c r="F5" s="3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customFormat="false" ht="35.05" hidden="false" customHeight="false" outlineLevel="0" collapsed="false">
      <c r="A6" s="2" t="n">
        <v>5</v>
      </c>
      <c r="B6" s="2" t="s">
        <v>10</v>
      </c>
      <c r="C6" s="2" t="s">
        <v>33</v>
      </c>
      <c r="D6" s="3" t="s">
        <v>12</v>
      </c>
      <c r="E6" s="3" t="s">
        <v>13</v>
      </c>
      <c r="F6" s="3" t="s">
        <v>13</v>
      </c>
      <c r="G6" s="2" t="s">
        <v>20</v>
      </c>
      <c r="H6" s="2" t="s">
        <v>34</v>
      </c>
      <c r="I6" s="2" t="s">
        <v>35</v>
      </c>
      <c r="J6" s="2" t="s">
        <v>36</v>
      </c>
    </row>
    <row r="7" customFormat="false" ht="23.85" hidden="false" customHeight="false" outlineLevel="0" collapsed="false">
      <c r="A7" s="2" t="n">
        <v>6</v>
      </c>
      <c r="B7" s="2" t="s">
        <v>10</v>
      </c>
      <c r="C7" s="2" t="s">
        <v>37</v>
      </c>
      <c r="D7" s="3" t="s">
        <v>19</v>
      </c>
      <c r="E7" s="3" t="s">
        <v>19</v>
      </c>
      <c r="F7" s="3" t="s">
        <v>13</v>
      </c>
      <c r="G7" s="2" t="s">
        <v>29</v>
      </c>
      <c r="H7" s="2" t="s">
        <v>38</v>
      </c>
      <c r="I7" s="2" t="s">
        <v>39</v>
      </c>
      <c r="J7" s="2"/>
    </row>
    <row r="8" customFormat="false" ht="23.85" hidden="false" customHeight="false" outlineLevel="0" collapsed="false">
      <c r="A8" s="2" t="n">
        <v>7</v>
      </c>
      <c r="B8" s="2" t="s">
        <v>10</v>
      </c>
      <c r="C8" s="2" t="s">
        <v>40</v>
      </c>
      <c r="D8" s="3" t="s">
        <v>19</v>
      </c>
      <c r="E8" s="3" t="s">
        <v>19</v>
      </c>
      <c r="F8" s="3" t="s">
        <v>13</v>
      </c>
      <c r="G8" s="2" t="s">
        <v>29</v>
      </c>
      <c r="H8" s="2" t="s">
        <v>41</v>
      </c>
      <c r="I8" s="2" t="s">
        <v>42</v>
      </c>
      <c r="J8" s="2" t="s">
        <v>43</v>
      </c>
    </row>
    <row r="9" customFormat="false" ht="15" hidden="false" customHeight="false" outlineLevel="0" collapsed="false">
      <c r="A9" s="2" t="n">
        <v>8</v>
      </c>
      <c r="B9" s="2" t="s">
        <v>44</v>
      </c>
      <c r="C9" s="2" t="s">
        <v>45</v>
      </c>
      <c r="D9" s="3" t="s">
        <v>19</v>
      </c>
      <c r="E9" s="3" t="s">
        <v>19</v>
      </c>
      <c r="F9" s="3" t="s">
        <v>13</v>
      </c>
      <c r="G9" s="2" t="s">
        <v>14</v>
      </c>
      <c r="H9" s="2" t="s">
        <v>46</v>
      </c>
      <c r="I9" s="2" t="s">
        <v>47</v>
      </c>
      <c r="J9" s="2" t="s">
        <v>48</v>
      </c>
    </row>
    <row r="10" customFormat="false" ht="23.85" hidden="false" customHeight="false" outlineLevel="0" collapsed="false">
      <c r="A10" s="2" t="n">
        <v>9</v>
      </c>
      <c r="B10" s="2" t="s">
        <v>44</v>
      </c>
      <c r="C10" s="2" t="s">
        <v>49</v>
      </c>
      <c r="D10" s="3" t="s">
        <v>19</v>
      </c>
      <c r="E10" s="3" t="s">
        <v>19</v>
      </c>
      <c r="F10" s="3" t="s">
        <v>13</v>
      </c>
      <c r="G10" s="2" t="s">
        <v>14</v>
      </c>
      <c r="H10" s="2" t="s">
        <v>50</v>
      </c>
      <c r="I10" s="2" t="s">
        <v>51</v>
      </c>
      <c r="J10" s="2" t="s">
        <v>52</v>
      </c>
    </row>
    <row r="11" customFormat="false" ht="23.85" hidden="false" customHeight="false" outlineLevel="0" collapsed="false">
      <c r="A11" s="2" t="n">
        <v>10</v>
      </c>
      <c r="B11" s="2" t="s">
        <v>44</v>
      </c>
      <c r="C11" s="2" t="s">
        <v>53</v>
      </c>
      <c r="D11" s="3" t="s">
        <v>12</v>
      </c>
      <c r="E11" s="3" t="s">
        <v>54</v>
      </c>
      <c r="F11" s="3" t="s">
        <v>13</v>
      </c>
      <c r="G11" s="2" t="s">
        <v>14</v>
      </c>
      <c r="H11" s="2" t="s">
        <v>55</v>
      </c>
      <c r="I11" s="2" t="s">
        <v>56</v>
      </c>
      <c r="J11" s="2" t="s">
        <v>57</v>
      </c>
    </row>
    <row r="12" customFormat="false" ht="23.85" hidden="false" customHeight="false" outlineLevel="0" collapsed="false">
      <c r="A12" s="2" t="n">
        <v>11</v>
      </c>
      <c r="B12" s="2" t="s">
        <v>44</v>
      </c>
      <c r="C12" s="2" t="s">
        <v>58</v>
      </c>
      <c r="D12" s="3" t="s">
        <v>19</v>
      </c>
      <c r="E12" s="3" t="s">
        <v>19</v>
      </c>
      <c r="F12" s="3" t="s">
        <v>28</v>
      </c>
      <c r="G12" s="2" t="s">
        <v>59</v>
      </c>
      <c r="H12" s="2" t="s">
        <v>60</v>
      </c>
      <c r="I12" s="2" t="s">
        <v>61</v>
      </c>
      <c r="J12" s="2" t="s">
        <v>62</v>
      </c>
    </row>
    <row r="13" customFormat="false" ht="23.85" hidden="false" customHeight="false" outlineLevel="0" collapsed="false">
      <c r="A13" s="2" t="n">
        <v>12</v>
      </c>
      <c r="B13" s="2" t="s">
        <v>44</v>
      </c>
      <c r="C13" s="2" t="s">
        <v>63</v>
      </c>
      <c r="D13" s="3" t="s">
        <v>19</v>
      </c>
      <c r="E13" s="3" t="s">
        <v>19</v>
      </c>
      <c r="F13" s="3" t="s">
        <v>13</v>
      </c>
      <c r="G13" s="2" t="s">
        <v>20</v>
      </c>
      <c r="H13" s="2" t="s">
        <v>64</v>
      </c>
      <c r="I13" s="2" t="s">
        <v>65</v>
      </c>
      <c r="J13" s="2"/>
    </row>
    <row r="14" customFormat="false" ht="35.05" hidden="false" customHeight="false" outlineLevel="0" collapsed="false">
      <c r="A14" s="2" t="n">
        <v>13</v>
      </c>
      <c r="B14" s="2" t="s">
        <v>66</v>
      </c>
      <c r="C14" s="2" t="s">
        <v>67</v>
      </c>
      <c r="D14" s="3" t="s">
        <v>12</v>
      </c>
      <c r="E14" s="3" t="s">
        <v>13</v>
      </c>
      <c r="F14" s="3" t="s">
        <v>13</v>
      </c>
      <c r="G14" s="2" t="s">
        <v>29</v>
      </c>
      <c r="H14" s="2" t="s">
        <v>68</v>
      </c>
      <c r="I14" s="2" t="s">
        <v>69</v>
      </c>
      <c r="J14" s="2" t="s">
        <v>70</v>
      </c>
    </row>
    <row r="15" customFormat="false" ht="35.05" hidden="false" customHeight="false" outlineLevel="0" collapsed="false">
      <c r="A15" s="2" t="n">
        <v>14</v>
      </c>
      <c r="B15" s="2" t="s">
        <v>66</v>
      </c>
      <c r="C15" s="2" t="s">
        <v>71</v>
      </c>
      <c r="D15" s="3" t="s">
        <v>19</v>
      </c>
      <c r="E15" s="3" t="s">
        <v>19</v>
      </c>
      <c r="F15" s="3" t="s">
        <v>28</v>
      </c>
      <c r="G15" s="2" t="s">
        <v>72</v>
      </c>
      <c r="H15" s="2" t="s">
        <v>73</v>
      </c>
      <c r="I15" s="2" t="s">
        <v>74</v>
      </c>
      <c r="J15" s="2" t="s">
        <v>75</v>
      </c>
    </row>
    <row r="16" customFormat="false" ht="35.05" hidden="false" customHeight="false" outlineLevel="0" collapsed="false">
      <c r="A16" s="2" t="n">
        <v>15</v>
      </c>
      <c r="B16" s="2" t="s">
        <v>66</v>
      </c>
      <c r="C16" s="2" t="s">
        <v>76</v>
      </c>
      <c r="D16" s="3" t="s">
        <v>12</v>
      </c>
      <c r="E16" s="3" t="s">
        <v>12</v>
      </c>
      <c r="F16" s="3" t="s">
        <v>13</v>
      </c>
      <c r="G16" s="2" t="s">
        <v>14</v>
      </c>
      <c r="H16" s="2" t="s">
        <v>77</v>
      </c>
      <c r="I16" s="2" t="s">
        <v>78</v>
      </c>
      <c r="J16" s="2"/>
    </row>
    <row r="17" customFormat="false" ht="23.85" hidden="false" customHeight="false" outlineLevel="0" collapsed="false">
      <c r="A17" s="2" t="n">
        <v>16</v>
      </c>
      <c r="B17" s="2" t="s">
        <v>66</v>
      </c>
      <c r="C17" s="2" t="s">
        <v>79</v>
      </c>
      <c r="D17" s="3" t="s">
        <v>12</v>
      </c>
      <c r="E17" s="3" t="s">
        <v>19</v>
      </c>
      <c r="F17" s="3" t="s">
        <v>19</v>
      </c>
      <c r="G17" s="2" t="s">
        <v>59</v>
      </c>
      <c r="H17" s="2" t="s">
        <v>80</v>
      </c>
      <c r="I17" s="2" t="s">
        <v>81</v>
      </c>
      <c r="J17" s="2" t="s">
        <v>82</v>
      </c>
    </row>
    <row r="18" customFormat="false" ht="23.85" hidden="false" customHeight="false" outlineLevel="0" collapsed="false">
      <c r="A18" s="2" t="n">
        <v>17</v>
      </c>
      <c r="B18" s="2" t="s">
        <v>66</v>
      </c>
      <c r="C18" s="2" t="s">
        <v>83</v>
      </c>
      <c r="D18" s="3" t="s">
        <v>12</v>
      </c>
      <c r="E18" s="3" t="s">
        <v>12</v>
      </c>
      <c r="F18" s="3" t="s">
        <v>13</v>
      </c>
      <c r="G18" s="2" t="s">
        <v>29</v>
      </c>
      <c r="H18" s="2" t="s">
        <v>84</v>
      </c>
      <c r="I18" s="2" t="s">
        <v>85</v>
      </c>
      <c r="J18" s="2"/>
    </row>
    <row r="19" customFormat="false" ht="23.85" hidden="false" customHeight="false" outlineLevel="0" collapsed="false">
      <c r="A19" s="2" t="n">
        <v>18</v>
      </c>
      <c r="B19" s="2" t="s">
        <v>66</v>
      </c>
      <c r="C19" s="2" t="s">
        <v>86</v>
      </c>
      <c r="D19" s="3" t="s">
        <v>12</v>
      </c>
      <c r="E19" s="3" t="s">
        <v>12</v>
      </c>
      <c r="F19" s="3" t="s">
        <v>28</v>
      </c>
      <c r="G19" s="2" t="s">
        <v>29</v>
      </c>
      <c r="H19" s="2" t="s">
        <v>87</v>
      </c>
      <c r="I19" s="2" t="s">
        <v>88</v>
      </c>
      <c r="J19" s="2" t="s">
        <v>89</v>
      </c>
    </row>
    <row r="20" customFormat="false" ht="23.85" hidden="false" customHeight="false" outlineLevel="0" collapsed="false">
      <c r="A20" s="2" t="n">
        <v>19</v>
      </c>
      <c r="B20" s="2" t="s">
        <v>90</v>
      </c>
      <c r="C20" s="2" t="s">
        <v>91</v>
      </c>
      <c r="D20" s="3" t="s">
        <v>12</v>
      </c>
      <c r="E20" s="3" t="s">
        <v>13</v>
      </c>
      <c r="F20" s="3" t="s">
        <v>13</v>
      </c>
      <c r="G20" s="2" t="s">
        <v>14</v>
      </c>
      <c r="H20" s="2" t="s">
        <v>92</v>
      </c>
      <c r="I20" s="2" t="s">
        <v>93</v>
      </c>
      <c r="J20" s="2" t="s">
        <v>94</v>
      </c>
    </row>
    <row r="21" customFormat="false" ht="23.85" hidden="false" customHeight="false" outlineLevel="0" collapsed="false">
      <c r="A21" s="2" t="n">
        <v>20</v>
      </c>
      <c r="B21" s="2" t="s">
        <v>90</v>
      </c>
      <c r="C21" s="2" t="s">
        <v>95</v>
      </c>
      <c r="D21" s="3" t="s">
        <v>12</v>
      </c>
      <c r="E21" s="3" t="s">
        <v>13</v>
      </c>
      <c r="F21" s="3" t="s">
        <v>13</v>
      </c>
      <c r="G21" s="2" t="s">
        <v>14</v>
      </c>
      <c r="H21" s="2" t="s">
        <v>96</v>
      </c>
      <c r="I21" s="2" t="s">
        <v>97</v>
      </c>
      <c r="J21" s="2" t="s">
        <v>98</v>
      </c>
    </row>
    <row r="22" customFormat="false" ht="35.05" hidden="false" customHeight="false" outlineLevel="0" collapsed="false">
      <c r="A22" s="2" t="n">
        <v>21</v>
      </c>
      <c r="B22" s="2" t="s">
        <v>90</v>
      </c>
      <c r="C22" s="2" t="s">
        <v>99</v>
      </c>
      <c r="D22" s="3" t="s">
        <v>12</v>
      </c>
      <c r="E22" s="3" t="s">
        <v>19</v>
      </c>
      <c r="F22" s="3" t="s">
        <v>19</v>
      </c>
      <c r="G22" s="2" t="s">
        <v>14</v>
      </c>
      <c r="H22" s="2" t="s">
        <v>100</v>
      </c>
      <c r="I22" s="2" t="s">
        <v>101</v>
      </c>
      <c r="J22" s="2" t="s">
        <v>102</v>
      </c>
    </row>
    <row r="23" customFormat="false" ht="23.85" hidden="false" customHeight="false" outlineLevel="0" collapsed="false">
      <c r="A23" s="2" t="n">
        <v>22</v>
      </c>
      <c r="B23" s="2" t="s">
        <v>90</v>
      </c>
      <c r="C23" s="2" t="s">
        <v>103</v>
      </c>
      <c r="D23" s="3" t="s">
        <v>12</v>
      </c>
      <c r="E23" s="3" t="s">
        <v>13</v>
      </c>
      <c r="F23" s="3" t="s">
        <v>12</v>
      </c>
      <c r="G23" s="2" t="s">
        <v>104</v>
      </c>
      <c r="H23" s="2" t="s">
        <v>105</v>
      </c>
      <c r="I23" s="2" t="s">
        <v>106</v>
      </c>
      <c r="J23" s="2" t="s">
        <v>107</v>
      </c>
    </row>
    <row r="24" customFormat="false" ht="23.85" hidden="false" customHeight="false" outlineLevel="0" collapsed="false">
      <c r="A24" s="2" t="n">
        <v>23</v>
      </c>
      <c r="B24" s="2" t="s">
        <v>90</v>
      </c>
      <c r="C24" s="2" t="s">
        <v>108</v>
      </c>
      <c r="D24" s="3" t="s">
        <v>12</v>
      </c>
      <c r="E24" s="3" t="s">
        <v>13</v>
      </c>
      <c r="F24" s="3" t="s">
        <v>13</v>
      </c>
      <c r="G24" s="2" t="s">
        <v>59</v>
      </c>
      <c r="H24" s="2" t="s">
        <v>109</v>
      </c>
      <c r="I24" s="2" t="s">
        <v>81</v>
      </c>
      <c r="J24" s="2" t="s">
        <v>110</v>
      </c>
    </row>
    <row r="25" customFormat="false" ht="23.85" hidden="false" customHeight="false" outlineLevel="0" collapsed="false">
      <c r="A25" s="2" t="n">
        <v>24</v>
      </c>
      <c r="B25" s="2" t="s">
        <v>111</v>
      </c>
      <c r="C25" s="2" t="s">
        <v>112</v>
      </c>
      <c r="D25" s="3" t="s">
        <v>12</v>
      </c>
      <c r="E25" s="3" t="s">
        <v>12</v>
      </c>
      <c r="F25" s="3" t="s">
        <v>13</v>
      </c>
      <c r="G25" s="2" t="s">
        <v>14</v>
      </c>
      <c r="H25" s="2" t="s">
        <v>113</v>
      </c>
      <c r="I25" s="2" t="s">
        <v>114</v>
      </c>
      <c r="J25" s="2" t="s">
        <v>115</v>
      </c>
    </row>
    <row r="26" customFormat="false" ht="23.85" hidden="false" customHeight="false" outlineLevel="0" collapsed="false">
      <c r="A26" s="2" t="n">
        <v>25</v>
      </c>
      <c r="B26" s="2" t="s">
        <v>111</v>
      </c>
      <c r="C26" s="2" t="s">
        <v>116</v>
      </c>
      <c r="D26" s="3" t="s">
        <v>19</v>
      </c>
      <c r="E26" s="3" t="s">
        <v>19</v>
      </c>
      <c r="F26" s="3" t="s">
        <v>54</v>
      </c>
      <c r="G26" s="2" t="s">
        <v>104</v>
      </c>
      <c r="H26" s="2" t="s">
        <v>117</v>
      </c>
      <c r="I26" s="2" t="s">
        <v>118</v>
      </c>
      <c r="J26" s="2" t="s">
        <v>119</v>
      </c>
    </row>
    <row r="27" customFormat="false" ht="23.85" hidden="false" customHeight="false" outlineLevel="0" collapsed="false">
      <c r="A27" s="2" t="n">
        <v>26</v>
      </c>
      <c r="B27" s="2" t="s">
        <v>111</v>
      </c>
      <c r="C27" s="2" t="s">
        <v>120</v>
      </c>
      <c r="D27" s="3" t="s">
        <v>12</v>
      </c>
      <c r="E27" s="3" t="s">
        <v>13</v>
      </c>
      <c r="F27" s="3" t="s">
        <v>13</v>
      </c>
      <c r="G27" s="2" t="s">
        <v>104</v>
      </c>
      <c r="H27" s="2" t="s">
        <v>121</v>
      </c>
      <c r="I27" s="2" t="s">
        <v>106</v>
      </c>
      <c r="J27" s="2"/>
    </row>
    <row r="28" customFormat="false" ht="23.85" hidden="false" customHeight="false" outlineLevel="0" collapsed="false">
      <c r="A28" s="2" t="n">
        <v>27</v>
      </c>
      <c r="B28" s="2" t="s">
        <v>111</v>
      </c>
      <c r="C28" s="2" t="s">
        <v>122</v>
      </c>
      <c r="D28" s="3" t="s">
        <v>19</v>
      </c>
      <c r="E28" s="3" t="s">
        <v>19</v>
      </c>
      <c r="F28" s="3" t="s">
        <v>54</v>
      </c>
      <c r="G28" s="2" t="s">
        <v>20</v>
      </c>
      <c r="H28" s="2" t="s">
        <v>123</v>
      </c>
      <c r="I28" s="2" t="s">
        <v>124</v>
      </c>
      <c r="J28" s="2" t="s">
        <v>125</v>
      </c>
    </row>
    <row r="29" customFormat="false" ht="23.85" hidden="false" customHeight="false" outlineLevel="0" collapsed="false">
      <c r="A29" s="2" t="n">
        <v>28</v>
      </c>
      <c r="B29" s="2" t="s">
        <v>111</v>
      </c>
      <c r="C29" s="2" t="s">
        <v>126</v>
      </c>
      <c r="D29" s="3" t="s">
        <v>12</v>
      </c>
      <c r="E29" s="3" t="s">
        <v>12</v>
      </c>
      <c r="F29" s="3" t="s">
        <v>13</v>
      </c>
      <c r="G29" s="2" t="s">
        <v>14</v>
      </c>
      <c r="H29" s="2" t="s">
        <v>127</v>
      </c>
      <c r="I29" s="2" t="s">
        <v>114</v>
      </c>
      <c r="J29" s="2"/>
    </row>
    <row r="30" customFormat="false" ht="35.05" hidden="false" customHeight="false" outlineLevel="0" collapsed="false">
      <c r="A30" s="2" t="n">
        <v>29</v>
      </c>
      <c r="B30" s="2" t="s">
        <v>111</v>
      </c>
      <c r="C30" s="2" t="s">
        <v>128</v>
      </c>
      <c r="D30" s="3" t="s">
        <v>12</v>
      </c>
      <c r="E30" s="3" t="s">
        <v>12</v>
      </c>
      <c r="F30" s="3" t="s">
        <v>13</v>
      </c>
      <c r="G30" s="2" t="s">
        <v>14</v>
      </c>
      <c r="H30" s="2" t="s">
        <v>129</v>
      </c>
      <c r="I30" s="2" t="s">
        <v>130</v>
      </c>
      <c r="J30" s="2"/>
    </row>
    <row r="31" customFormat="false" ht="35.05" hidden="false" customHeight="false" outlineLevel="0" collapsed="false">
      <c r="A31" s="2" t="n">
        <v>30</v>
      </c>
      <c r="B31" s="2" t="s">
        <v>131</v>
      </c>
      <c r="C31" s="2" t="s">
        <v>132</v>
      </c>
      <c r="D31" s="3" t="s">
        <v>12</v>
      </c>
      <c r="E31" s="3" t="s">
        <v>12</v>
      </c>
      <c r="F31" s="3" t="s">
        <v>19</v>
      </c>
      <c r="G31" s="2" t="s">
        <v>133</v>
      </c>
      <c r="H31" s="2" t="s">
        <v>134</v>
      </c>
      <c r="I31" s="2" t="s">
        <v>135</v>
      </c>
      <c r="J31" s="2" t="s">
        <v>136</v>
      </c>
    </row>
    <row r="32" customFormat="false" ht="23.85" hidden="false" customHeight="false" outlineLevel="0" collapsed="false">
      <c r="A32" s="2" t="n">
        <v>31</v>
      </c>
      <c r="B32" s="2" t="s">
        <v>131</v>
      </c>
      <c r="C32" s="2" t="s">
        <v>137</v>
      </c>
      <c r="D32" s="3" t="s">
        <v>12</v>
      </c>
      <c r="E32" s="3" t="s">
        <v>12</v>
      </c>
      <c r="F32" s="3" t="s">
        <v>12</v>
      </c>
      <c r="G32" s="2" t="s">
        <v>133</v>
      </c>
      <c r="H32" s="2" t="s">
        <v>138</v>
      </c>
      <c r="I32" s="2" t="s">
        <v>139</v>
      </c>
      <c r="J32" s="2" t="s">
        <v>140</v>
      </c>
    </row>
    <row r="33" customFormat="false" ht="23.85" hidden="false" customHeight="false" outlineLevel="0" collapsed="false">
      <c r="A33" s="2" t="n">
        <v>32</v>
      </c>
      <c r="B33" s="2" t="s">
        <v>131</v>
      </c>
      <c r="C33" s="2" t="s">
        <v>141</v>
      </c>
      <c r="D33" s="3" t="s">
        <v>12</v>
      </c>
      <c r="E33" s="3" t="s">
        <v>12</v>
      </c>
      <c r="F33" s="3" t="s">
        <v>28</v>
      </c>
      <c r="G33" s="2" t="s">
        <v>133</v>
      </c>
      <c r="H33" s="2" t="s">
        <v>142</v>
      </c>
      <c r="I33" s="2" t="s">
        <v>143</v>
      </c>
      <c r="J33" s="2" t="s">
        <v>144</v>
      </c>
    </row>
    <row r="34" customFormat="false" ht="23.85" hidden="false" customHeight="false" outlineLevel="0" collapsed="false">
      <c r="A34" s="2" t="n">
        <v>33</v>
      </c>
      <c r="B34" s="2" t="s">
        <v>131</v>
      </c>
      <c r="C34" s="2" t="s">
        <v>145</v>
      </c>
      <c r="D34" s="3" t="s">
        <v>12</v>
      </c>
      <c r="E34" s="3" t="s">
        <v>12</v>
      </c>
      <c r="F34" s="3" t="s">
        <v>28</v>
      </c>
      <c r="G34" s="2" t="s">
        <v>133</v>
      </c>
      <c r="H34" s="2" t="s">
        <v>146</v>
      </c>
      <c r="I34" s="2" t="s">
        <v>147</v>
      </c>
      <c r="J34" s="2" t="s">
        <v>148</v>
      </c>
    </row>
    <row r="35" customFormat="false" ht="23.85" hidden="false" customHeight="false" outlineLevel="0" collapsed="false">
      <c r="A35" s="2" t="n">
        <v>34</v>
      </c>
      <c r="B35" s="2" t="s">
        <v>131</v>
      </c>
      <c r="C35" s="2" t="s">
        <v>149</v>
      </c>
      <c r="D35" s="3" t="s">
        <v>12</v>
      </c>
      <c r="E35" s="3" t="s">
        <v>12</v>
      </c>
      <c r="F35" s="3" t="s">
        <v>13</v>
      </c>
      <c r="G35" s="2" t="s">
        <v>133</v>
      </c>
      <c r="H35" s="2" t="s">
        <v>150</v>
      </c>
      <c r="I35" s="2" t="s">
        <v>147</v>
      </c>
      <c r="J35" s="2" t="s">
        <v>151</v>
      </c>
    </row>
  </sheetData>
  <autoFilter ref="A1:J35"/>
  <conditionalFormatting sqref="D2:D35">
    <cfRule type="cellIs" priority="2" operator="equal" aboveAverage="0" equalAverage="0" bottom="0" percent="0" rank="0" text="" dxfId="8">
      <formula>"Existing"</formula>
    </cfRule>
    <cfRule type="cellIs" priority="3" operator="equal" aboveAverage="0" equalAverage="0" bottom="0" percent="0" rank="0" text="" dxfId="9">
      <formula>"Added"</formula>
    </cfRule>
    <cfRule type="cellIs" priority="4" operator="equal" aboveAverage="0" equalAverage="0" bottom="0" percent="0" rank="0" text="" dxfId="10">
      <formula>"Partial"</formula>
    </cfRule>
    <cfRule type="cellIs" priority="5" operator="equal" aboveAverage="0" equalAverage="0" bottom="0" percent="0" rank="0" text="" dxfId="11">
      <formula>"N/A"</formula>
    </cfRule>
    <cfRule type="cellIs" priority="6" operator="equal" aboveAverage="0" equalAverage="0" bottom="0" percent="0" rank="0" text="" dxfId="12">
      <formula>"Not possible"</formula>
    </cfRule>
    <cfRule type="cellIs" priority="7" operator="equal" aboveAverage="0" equalAverage="0" bottom="0" percent="0" rank="0" text="" dxfId="13">
      <formula>"Backend"</formula>
    </cfRule>
  </conditionalFormatting>
  <conditionalFormatting sqref="E2:E35">
    <cfRule type="cellIs" priority="8" operator="equal" aboveAverage="0" equalAverage="0" bottom="0" percent="0" rank="0" text="" dxfId="8">
      <formula>"Existing"</formula>
    </cfRule>
    <cfRule type="cellIs" priority="9" operator="equal" aboveAverage="0" equalAverage="0" bottom="0" percent="0" rank="0" text="" dxfId="9">
      <formula>"Added"</formula>
    </cfRule>
    <cfRule type="cellIs" priority="10" operator="equal" aboveAverage="0" equalAverage="0" bottom="0" percent="0" rank="0" text="" dxfId="10">
      <formula>"Partial"</formula>
    </cfRule>
    <cfRule type="cellIs" priority="11" operator="equal" aboveAverage="0" equalAverage="0" bottom="0" percent="0" rank="0" text="" dxfId="11">
      <formula>"N/A"</formula>
    </cfRule>
    <cfRule type="cellIs" priority="12" operator="equal" aboveAverage="0" equalAverage="0" bottom="0" percent="0" rank="0" text="" dxfId="12">
      <formula>"Not possible"</formula>
    </cfRule>
    <cfRule type="cellIs" priority="13" operator="equal" aboveAverage="0" equalAverage="0" bottom="0" percent="0" rank="0" text="" dxfId="13">
      <formula>"Backend"</formula>
    </cfRule>
  </conditionalFormatting>
  <conditionalFormatting sqref="F2:F35">
    <cfRule type="cellIs" priority="14" operator="equal" aboveAverage="0" equalAverage="0" bottom="0" percent="0" rank="0" text="" dxfId="8">
      <formula>"Existing"</formula>
    </cfRule>
    <cfRule type="cellIs" priority="15" operator="equal" aboveAverage="0" equalAverage="0" bottom="0" percent="0" rank="0" text="" dxfId="9">
      <formula>"Added"</formula>
    </cfRule>
    <cfRule type="cellIs" priority="16" operator="equal" aboveAverage="0" equalAverage="0" bottom="0" percent="0" rank="0" text="" dxfId="10">
      <formula>"Partial"</formula>
    </cfRule>
    <cfRule type="cellIs" priority="17" operator="equal" aboveAverage="0" equalAverage="0" bottom="0" percent="0" rank="0" text="" dxfId="11">
      <formula>"N/A"</formula>
    </cfRule>
    <cfRule type="cellIs" priority="18" operator="equal" aboveAverage="0" equalAverage="0" bottom="0" percent="0" rank="0" text="" dxfId="12">
      <formula>"Not possible"</formula>
    </cfRule>
    <cfRule type="cellIs" priority="19" operator="equal" aboveAverage="0" equalAverage="0" bottom="0" percent="0" rank="0" text="" dxfId="13">
      <formula>"Backend"</formula>
    </cfRule>
  </conditionalFormatting>
  <dataValidations count="1">
    <dataValidation allowBlank="true" errorStyle="stop" operator="between" showDropDown="false" showErrorMessage="false" showInputMessage="false" sqref="D2:F35" type="list">
      <formula1>"Existing,Added,Partial,N/A,Not possible,Backend"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5" min="5" style="0" width="36"/>
  </cols>
  <sheetData>
    <row r="1" customFormat="false" ht="15" hidden="false" customHeight="false" outlineLevel="0" collapsed="false">
      <c r="A1" s="1" t="s">
        <v>1</v>
      </c>
      <c r="B1" s="1" t="s">
        <v>152</v>
      </c>
      <c r="C1" s="1" t="s">
        <v>153</v>
      </c>
      <c r="D1" s="1" t="s">
        <v>7</v>
      </c>
      <c r="E1" s="1" t="s">
        <v>154</v>
      </c>
    </row>
    <row r="2" customFormat="false" ht="23.85" hidden="false" customHeight="false" outlineLevel="0" collapsed="false">
      <c r="A2" s="2" t="s">
        <v>155</v>
      </c>
      <c r="B2" s="2" t="s">
        <v>156</v>
      </c>
      <c r="C2" s="2" t="s">
        <v>157</v>
      </c>
      <c r="D2" s="2" t="s">
        <v>158</v>
      </c>
      <c r="E2" s="2" t="s">
        <v>159</v>
      </c>
    </row>
    <row r="3" customFormat="false" ht="15" hidden="false" customHeight="false" outlineLevel="0" collapsed="false">
      <c r="A3" s="2" t="s">
        <v>155</v>
      </c>
      <c r="B3" s="2" t="s">
        <v>160</v>
      </c>
      <c r="C3" s="2" t="s">
        <v>12</v>
      </c>
      <c r="D3" s="2" t="s">
        <v>161</v>
      </c>
      <c r="E3" s="2" t="s">
        <v>162</v>
      </c>
    </row>
    <row r="4" customFormat="false" ht="15" hidden="false" customHeight="false" outlineLevel="0" collapsed="false">
      <c r="A4" s="2" t="s">
        <v>155</v>
      </c>
      <c r="B4" s="2" t="s">
        <v>163</v>
      </c>
      <c r="C4" s="2" t="s">
        <v>12</v>
      </c>
      <c r="D4" s="2" t="s">
        <v>164</v>
      </c>
      <c r="E4" s="2" t="s">
        <v>165</v>
      </c>
    </row>
    <row r="5" customFormat="false" ht="23.85" hidden="false" customHeight="false" outlineLevel="0" collapsed="false">
      <c r="A5" s="2" t="s">
        <v>155</v>
      </c>
      <c r="B5" s="2" t="s">
        <v>166</v>
      </c>
      <c r="C5" s="2" t="s">
        <v>12</v>
      </c>
      <c r="D5" s="2" t="s">
        <v>167</v>
      </c>
      <c r="E5" s="2" t="s">
        <v>168</v>
      </c>
    </row>
    <row r="6" customFormat="false" ht="23.85" hidden="false" customHeight="false" outlineLevel="0" collapsed="false">
      <c r="A6" s="2" t="s">
        <v>155</v>
      </c>
      <c r="B6" s="2" t="s">
        <v>169</v>
      </c>
      <c r="C6" s="2" t="s">
        <v>12</v>
      </c>
      <c r="D6" s="2" t="s">
        <v>170</v>
      </c>
      <c r="E6" s="2" t="s">
        <v>171</v>
      </c>
    </row>
    <row r="7" customFormat="false" ht="23.85" hidden="false" customHeight="false" outlineLevel="0" collapsed="false">
      <c r="A7" s="2" t="s">
        <v>155</v>
      </c>
      <c r="B7" s="2" t="s">
        <v>172</v>
      </c>
      <c r="C7" s="2" t="s">
        <v>19</v>
      </c>
      <c r="D7" s="2" t="s">
        <v>173</v>
      </c>
      <c r="E7" s="2" t="s">
        <v>174</v>
      </c>
    </row>
    <row r="8" customFormat="false" ht="15" hidden="false" customHeight="false" outlineLevel="0" collapsed="false">
      <c r="A8" s="2" t="s">
        <v>155</v>
      </c>
      <c r="B8" s="2" t="s">
        <v>175</v>
      </c>
      <c r="C8" s="2" t="s">
        <v>19</v>
      </c>
      <c r="D8" s="2" t="s">
        <v>176</v>
      </c>
      <c r="E8" s="2" t="s">
        <v>177</v>
      </c>
    </row>
    <row r="9" customFormat="false" ht="15" hidden="false" customHeight="false" outlineLevel="0" collapsed="false">
      <c r="A9" s="2" t="s">
        <v>155</v>
      </c>
      <c r="B9" s="2" t="s">
        <v>178</v>
      </c>
      <c r="C9" s="2" t="s">
        <v>19</v>
      </c>
      <c r="D9" s="2" t="s">
        <v>179</v>
      </c>
      <c r="E9" s="2" t="s">
        <v>180</v>
      </c>
    </row>
    <row r="10" customFormat="false" ht="15" hidden="false" customHeight="false" outlineLevel="0" collapsed="false">
      <c r="A10" s="2" t="s">
        <v>155</v>
      </c>
      <c r="B10" s="2" t="s">
        <v>181</v>
      </c>
      <c r="C10" s="2" t="s">
        <v>19</v>
      </c>
      <c r="D10" s="2" t="s">
        <v>182</v>
      </c>
      <c r="E10" s="2" t="s">
        <v>180</v>
      </c>
    </row>
    <row r="11" customFormat="false" ht="15" hidden="false" customHeight="false" outlineLevel="0" collapsed="false">
      <c r="A11" s="2" t="s">
        <v>155</v>
      </c>
      <c r="B11" s="2" t="s">
        <v>99</v>
      </c>
      <c r="C11" s="2" t="s">
        <v>19</v>
      </c>
      <c r="D11" s="2" t="s">
        <v>183</v>
      </c>
      <c r="E11" s="2" t="s">
        <v>184</v>
      </c>
    </row>
    <row r="12" customFormat="false" ht="15" hidden="false" customHeight="false" outlineLevel="0" collapsed="false">
      <c r="A12" s="2" t="s">
        <v>155</v>
      </c>
      <c r="B12" s="2" t="s">
        <v>185</v>
      </c>
      <c r="C12" s="2" t="s">
        <v>12</v>
      </c>
      <c r="D12" s="2" t="s">
        <v>186</v>
      </c>
      <c r="E12" s="2" t="s">
        <v>187</v>
      </c>
    </row>
    <row r="13" customFormat="false" ht="23.85" hidden="false" customHeight="false" outlineLevel="0" collapsed="false">
      <c r="A13" s="2" t="s">
        <v>188</v>
      </c>
      <c r="B13" s="2" t="s">
        <v>189</v>
      </c>
      <c r="C13" s="2" t="s">
        <v>19</v>
      </c>
      <c r="D13" s="2" t="s">
        <v>190</v>
      </c>
      <c r="E13" s="2" t="s">
        <v>191</v>
      </c>
    </row>
    <row r="14" customFormat="false" ht="15" hidden="false" customHeight="false" outlineLevel="0" collapsed="false">
      <c r="A14" s="2" t="s">
        <v>188</v>
      </c>
      <c r="B14" s="2" t="s">
        <v>192</v>
      </c>
      <c r="C14" s="2" t="s">
        <v>12</v>
      </c>
      <c r="D14" s="2" t="s">
        <v>193</v>
      </c>
      <c r="E14" s="2" t="s">
        <v>194</v>
      </c>
    </row>
    <row r="15" customFormat="false" ht="15" hidden="false" customHeight="false" outlineLevel="0" collapsed="false">
      <c r="A15" s="2" t="s">
        <v>188</v>
      </c>
      <c r="B15" s="2" t="s">
        <v>195</v>
      </c>
      <c r="C15" s="2" t="s">
        <v>19</v>
      </c>
      <c r="D15" s="2" t="s">
        <v>196</v>
      </c>
      <c r="E15" s="2" t="s">
        <v>197</v>
      </c>
    </row>
    <row r="16" customFormat="false" ht="23.85" hidden="false" customHeight="false" outlineLevel="0" collapsed="false">
      <c r="A16" s="2" t="s">
        <v>188</v>
      </c>
      <c r="B16" s="2" t="s">
        <v>198</v>
      </c>
      <c r="C16" s="2" t="s">
        <v>12</v>
      </c>
      <c r="D16" s="2" t="s">
        <v>199</v>
      </c>
      <c r="E16" s="2" t="s">
        <v>200</v>
      </c>
    </row>
    <row r="17" customFormat="false" ht="23.85" hidden="false" customHeight="false" outlineLevel="0" collapsed="false">
      <c r="A17" s="2" t="s">
        <v>188</v>
      </c>
      <c r="B17" s="2" t="s">
        <v>201</v>
      </c>
      <c r="C17" s="2" t="s">
        <v>28</v>
      </c>
      <c r="D17" s="2" t="s">
        <v>202</v>
      </c>
      <c r="E17" s="2" t="s">
        <v>203</v>
      </c>
    </row>
    <row r="18" customFormat="false" ht="15" hidden="false" customHeight="false" outlineLevel="0" collapsed="false">
      <c r="A18" s="2" t="s">
        <v>188</v>
      </c>
      <c r="B18" s="2" t="s">
        <v>204</v>
      </c>
      <c r="C18" s="2" t="s">
        <v>19</v>
      </c>
      <c r="D18" s="2" t="s">
        <v>205</v>
      </c>
      <c r="E18" s="2"/>
    </row>
    <row r="19" customFormat="false" ht="15" hidden="false" customHeight="false" outlineLevel="0" collapsed="false">
      <c r="A19" s="2" t="s">
        <v>206</v>
      </c>
      <c r="B19" s="2" t="s">
        <v>207</v>
      </c>
      <c r="C19" s="2" t="s">
        <v>19</v>
      </c>
      <c r="D19" s="2" t="s">
        <v>208</v>
      </c>
      <c r="E19" s="2" t="s">
        <v>209</v>
      </c>
    </row>
    <row r="20" customFormat="false" ht="23.85" hidden="false" customHeight="false" outlineLevel="0" collapsed="false">
      <c r="A20" s="2" t="s">
        <v>206</v>
      </c>
      <c r="B20" s="2" t="s">
        <v>210</v>
      </c>
      <c r="C20" s="2" t="s">
        <v>19</v>
      </c>
      <c r="D20" s="2" t="s">
        <v>211</v>
      </c>
      <c r="E20" s="2" t="s">
        <v>212</v>
      </c>
    </row>
    <row r="21" customFormat="false" ht="15" hidden="false" customHeight="false" outlineLevel="0" collapsed="false">
      <c r="A21" s="2" t="s">
        <v>206</v>
      </c>
      <c r="B21" s="2" t="s">
        <v>213</v>
      </c>
      <c r="C21" s="2" t="s">
        <v>19</v>
      </c>
      <c r="D21" s="2" t="s">
        <v>214</v>
      </c>
      <c r="E21" s="2" t="s">
        <v>215</v>
      </c>
    </row>
    <row r="22" customFormat="false" ht="15" hidden="false" customHeight="false" outlineLevel="0" collapsed="false">
      <c r="A22" s="2" t="s">
        <v>216</v>
      </c>
      <c r="B22" s="2" t="s">
        <v>217</v>
      </c>
      <c r="C22" s="2" t="s">
        <v>19</v>
      </c>
      <c r="D22" s="2" t="s">
        <v>218</v>
      </c>
      <c r="E22" s="2" t="s">
        <v>219</v>
      </c>
    </row>
    <row r="23" customFormat="false" ht="15" hidden="false" customHeight="false" outlineLevel="0" collapsed="false">
      <c r="A23" s="2" t="s">
        <v>216</v>
      </c>
      <c r="B23" s="2" t="s">
        <v>220</v>
      </c>
      <c r="C23" s="2" t="s">
        <v>19</v>
      </c>
      <c r="D23" s="2" t="s">
        <v>221</v>
      </c>
      <c r="E23" s="2" t="s">
        <v>222</v>
      </c>
    </row>
    <row r="24" customFormat="false" ht="15" hidden="false" customHeight="false" outlineLevel="0" collapsed="false">
      <c r="A24" s="2" t="s">
        <v>216</v>
      </c>
      <c r="B24" s="2" t="s">
        <v>223</v>
      </c>
      <c r="C24" s="2" t="s">
        <v>12</v>
      </c>
      <c r="D24" s="2" t="s">
        <v>224</v>
      </c>
      <c r="E24" s="2" t="s">
        <v>225</v>
      </c>
    </row>
    <row r="25" customFormat="false" ht="15" hidden="false" customHeight="false" outlineLevel="0" collapsed="false">
      <c r="A25" s="2" t="s">
        <v>216</v>
      </c>
      <c r="B25" s="2" t="s">
        <v>226</v>
      </c>
      <c r="C25" s="2" t="s">
        <v>19</v>
      </c>
      <c r="D25" s="2" t="s">
        <v>227</v>
      </c>
      <c r="E25" s="2" t="s">
        <v>228</v>
      </c>
    </row>
    <row r="26" customFormat="false" ht="15" hidden="false" customHeight="false" outlineLevel="0" collapsed="false">
      <c r="A26" s="2" t="s">
        <v>216</v>
      </c>
      <c r="B26" s="2" t="s">
        <v>229</v>
      </c>
      <c r="C26" s="2" t="s">
        <v>19</v>
      </c>
      <c r="D26" s="2" t="s">
        <v>230</v>
      </c>
      <c r="E26" s="2" t="s">
        <v>231</v>
      </c>
    </row>
    <row r="27" customFormat="false" ht="15" hidden="false" customHeight="false" outlineLevel="0" collapsed="false">
      <c r="A27" s="2" t="s">
        <v>232</v>
      </c>
      <c r="B27" s="2" t="s">
        <v>233</v>
      </c>
      <c r="C27" s="2" t="s">
        <v>28</v>
      </c>
      <c r="D27" s="2" t="s">
        <v>234</v>
      </c>
      <c r="E27" s="2" t="s">
        <v>235</v>
      </c>
    </row>
    <row r="28" customFormat="false" ht="15" hidden="false" customHeight="false" outlineLevel="0" collapsed="false">
      <c r="A28" s="2" t="s">
        <v>232</v>
      </c>
      <c r="B28" s="2" t="s">
        <v>236</v>
      </c>
      <c r="C28" s="2" t="s">
        <v>19</v>
      </c>
      <c r="D28" s="2" t="s">
        <v>237</v>
      </c>
      <c r="E28" s="2"/>
    </row>
    <row r="29" customFormat="false" ht="15" hidden="false" customHeight="false" outlineLevel="0" collapsed="false">
      <c r="A29" s="2" t="s">
        <v>232</v>
      </c>
      <c r="B29" s="2" t="s">
        <v>238</v>
      </c>
      <c r="C29" s="2" t="s">
        <v>19</v>
      </c>
      <c r="D29" s="2" t="s">
        <v>239</v>
      </c>
      <c r="E29" s="2"/>
    </row>
    <row r="30" customFormat="false" ht="15" hidden="false" customHeight="false" outlineLevel="0" collapsed="false">
      <c r="A30" s="2" t="s">
        <v>232</v>
      </c>
      <c r="B30" s="2" t="s">
        <v>240</v>
      </c>
      <c r="C30" s="2" t="s">
        <v>19</v>
      </c>
      <c r="D30" s="2" t="s">
        <v>241</v>
      </c>
      <c r="E30" s="2"/>
    </row>
    <row r="31" customFormat="false" ht="15" hidden="false" customHeight="false" outlineLevel="0" collapsed="false">
      <c r="A31" s="2" t="s">
        <v>232</v>
      </c>
      <c r="B31" s="2" t="s">
        <v>242</v>
      </c>
      <c r="C31" s="2" t="s">
        <v>12</v>
      </c>
      <c r="D31" s="2" t="s">
        <v>243</v>
      </c>
      <c r="E31" s="2" t="s">
        <v>194</v>
      </c>
    </row>
    <row r="32" customFormat="false" ht="15" hidden="false" customHeight="false" outlineLevel="0" collapsed="false">
      <c r="A32" s="2" t="s">
        <v>232</v>
      </c>
      <c r="B32" s="2" t="s">
        <v>244</v>
      </c>
      <c r="C32" s="2" t="s">
        <v>12</v>
      </c>
      <c r="D32" s="2" t="s">
        <v>245</v>
      </c>
      <c r="E32" s="2" t="s">
        <v>246</v>
      </c>
    </row>
    <row r="33" customFormat="false" ht="15" hidden="false" customHeight="false" outlineLevel="0" collapsed="false">
      <c r="A33" s="2" t="s">
        <v>232</v>
      </c>
      <c r="B33" s="2" t="s">
        <v>247</v>
      </c>
      <c r="C33" s="2" t="s">
        <v>19</v>
      </c>
      <c r="D33" s="2" t="s">
        <v>248</v>
      </c>
      <c r="E33" s="2"/>
    </row>
    <row r="34" customFormat="false" ht="15" hidden="false" customHeight="false" outlineLevel="0" collapsed="false">
      <c r="A34" s="2" t="s">
        <v>232</v>
      </c>
      <c r="B34" s="2" t="s">
        <v>249</v>
      </c>
      <c r="C34" s="2" t="s">
        <v>19</v>
      </c>
      <c r="D34" s="2" t="s">
        <v>250</v>
      </c>
      <c r="E34" s="2"/>
    </row>
    <row r="35" customFormat="false" ht="15" hidden="false" customHeight="false" outlineLevel="0" collapsed="false">
      <c r="A35" s="2" t="s">
        <v>232</v>
      </c>
      <c r="B35" s="2" t="s">
        <v>251</v>
      </c>
      <c r="C35" s="2" t="s">
        <v>28</v>
      </c>
      <c r="D35" s="2" t="s">
        <v>252</v>
      </c>
      <c r="E35" s="2" t="s">
        <v>253</v>
      </c>
    </row>
    <row r="36" customFormat="false" ht="15" hidden="false" customHeight="false" outlineLevel="0" collapsed="false">
      <c r="A36" s="2" t="s">
        <v>232</v>
      </c>
      <c r="B36" s="2" t="s">
        <v>254</v>
      </c>
      <c r="C36" s="2" t="s">
        <v>13</v>
      </c>
      <c r="D36" s="2" t="s">
        <v>255</v>
      </c>
      <c r="E36" s="2" t="s">
        <v>203</v>
      </c>
    </row>
  </sheetData>
  <autoFilter ref="A1:E36"/>
  <conditionalFormatting sqref="C2:C36">
    <cfRule type="cellIs" priority="2" operator="equal" aboveAverage="0" equalAverage="0" bottom="0" percent="0" rank="0" text="" dxfId="8">
      <formula>"Existing"</formula>
    </cfRule>
    <cfRule type="cellIs" priority="3" operator="equal" aboveAverage="0" equalAverage="0" bottom="0" percent="0" rank="0" text="" dxfId="9">
      <formula>"Added"</formula>
    </cfRule>
    <cfRule type="cellIs" priority="4" operator="equal" aboveAverage="0" equalAverage="0" bottom="0" percent="0" rank="0" text="" dxfId="10">
      <formula>"Partial"</formula>
    </cfRule>
    <cfRule type="cellIs" priority="5" operator="equal" aboveAverage="0" equalAverage="0" bottom="0" percent="0" rank="0" text="" dxfId="11">
      <formula>"N/A"</formula>
    </cfRule>
    <cfRule type="cellIs" priority="6" operator="equal" aboveAverage="0" equalAverage="0" bottom="0" percent="0" rank="0" text="" dxfId="12">
      <formula>"Not possible"</formula>
    </cfRule>
    <cfRule type="cellIs" priority="7" operator="equal" aboveAverage="0" equalAverage="0" bottom="0" percent="0" rank="0" text="" dxfId="13">
      <formula>"Backend"</formula>
    </cfRule>
  </conditionalFormatting>
  <dataValidations count="1">
    <dataValidation allowBlank="true" errorStyle="stop" operator="between" showDropDown="false" showErrorMessage="false" showInputMessage="false" sqref="C2:C36" type="list">
      <formula1>"Existing,Added,Partial,N/A,Not possible,Backend"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5"/>
  </cols>
  <sheetData>
    <row r="1" customFormat="false" ht="15" hidden="false" customHeight="false" outlineLevel="0" collapsed="false">
      <c r="A1" s="4" t="s">
        <v>153</v>
      </c>
      <c r="B1" s="4" t="s">
        <v>3</v>
      </c>
      <c r="C1" s="4" t="s">
        <v>4</v>
      </c>
      <c r="D1" s="4" t="s">
        <v>256</v>
      </c>
      <c r="E1" s="4" t="s">
        <v>257</v>
      </c>
    </row>
    <row r="2" customFormat="false" ht="15" hidden="false" customHeight="false" outlineLevel="0" collapsed="false">
      <c r="A2" s="5" t="s">
        <v>19</v>
      </c>
      <c r="B2" s="5" t="n">
        <f aca="false">COUNTIF('Mobile &amp; Web (34)'!$D$2:$D$35,$A2)</f>
        <v>10</v>
      </c>
      <c r="C2" s="5" t="n">
        <f aca="false">COUNTIF('Mobile &amp; Web (34)'!$E$2:$E$35,$A2)</f>
        <v>12</v>
      </c>
      <c r="D2" s="5" t="n">
        <f aca="false">COUNTIF('Mobile &amp; Web (34)'!$F$2:$F$35,$A2)</f>
        <v>3</v>
      </c>
      <c r="E2" s="5" t="n">
        <f aca="false">COUNTIF('Web Security'!$C$2:$C$36,$A2&amp;"*")</f>
        <v>21</v>
      </c>
    </row>
    <row r="3" customFormat="false" ht="15" hidden="false" customHeight="false" outlineLevel="0" collapsed="false">
      <c r="A3" s="5" t="s">
        <v>12</v>
      </c>
      <c r="B3" s="5" t="n">
        <f aca="false">COUNTIF('Mobile &amp; Web (34)'!$D$2:$D$35,$A3)</f>
        <v>24</v>
      </c>
      <c r="C3" s="5" t="n">
        <f aca="false">COUNTIF('Mobile &amp; Web (34)'!$E$2:$E$35,$A3)</f>
        <v>13</v>
      </c>
      <c r="D3" s="5" t="n">
        <f aca="false">COUNTIF('Mobile &amp; Web (34)'!$F$2:$F$35,$A3)</f>
        <v>2</v>
      </c>
      <c r="E3" s="5" t="n">
        <f aca="false">COUNTIF('Web Security'!$C$2:$C$36,$A3&amp;"*")</f>
        <v>10</v>
      </c>
    </row>
    <row r="4" customFormat="false" ht="15" hidden="false" customHeight="false" outlineLevel="0" collapsed="false">
      <c r="A4" s="5" t="s">
        <v>28</v>
      </c>
      <c r="B4" s="5" t="n">
        <f aca="false">COUNTIF('Mobile &amp; Web (34)'!$D$2:$D$35,$A4)</f>
        <v>0</v>
      </c>
      <c r="C4" s="5" t="n">
        <f aca="false">COUNTIF('Mobile &amp; Web (34)'!$E$2:$E$35,$A4)</f>
        <v>0</v>
      </c>
      <c r="D4" s="5" t="n">
        <f aca="false">COUNTIF('Mobile &amp; Web (34)'!$F$2:$F$35,$A4)</f>
        <v>6</v>
      </c>
      <c r="E4" s="5" t="n">
        <f aca="false">COUNTIF('Web Security'!$C$2:$C$36,$A4&amp;"*")</f>
        <v>3</v>
      </c>
    </row>
    <row r="5" customFormat="false" ht="15" hidden="false" customHeight="false" outlineLevel="0" collapsed="false">
      <c r="A5" s="5" t="s">
        <v>13</v>
      </c>
      <c r="B5" s="5" t="n">
        <f aca="false">COUNTIF('Mobile &amp; Web (34)'!$D$2:$D$35,$A5)</f>
        <v>0</v>
      </c>
      <c r="C5" s="5" t="n">
        <f aca="false">COUNTIF('Mobile &amp; Web (34)'!$E$2:$E$35,$A5)</f>
        <v>8</v>
      </c>
      <c r="D5" s="5" t="n">
        <f aca="false">COUNTIF('Mobile &amp; Web (34)'!$F$2:$F$35,$A5)</f>
        <v>21</v>
      </c>
      <c r="E5" s="5" t="n">
        <f aca="false">COUNTIF('Web Security'!$C$2:$C$36,$A5&amp;"*")</f>
        <v>1</v>
      </c>
    </row>
    <row r="6" customFormat="false" ht="15" hidden="false" customHeight="false" outlineLevel="0" collapsed="false">
      <c r="A6" s="5" t="s">
        <v>54</v>
      </c>
      <c r="B6" s="5" t="n">
        <f aca="false">COUNTIF('Mobile &amp; Web (34)'!$D$2:$D$35,$A6)</f>
        <v>0</v>
      </c>
      <c r="C6" s="5" t="n">
        <f aca="false">COUNTIF('Mobile &amp; Web (34)'!$E$2:$E$35,$A6)</f>
        <v>1</v>
      </c>
      <c r="D6" s="5" t="n">
        <f aca="false">COUNTIF('Mobile &amp; Web (34)'!$F$2:$F$35,$A6)</f>
        <v>2</v>
      </c>
      <c r="E6" s="5" t="n">
        <f aca="false">COUNTIF('Web Security'!$C$2:$C$36,$A6&amp;"*")</f>
        <v>0</v>
      </c>
    </row>
    <row r="7" customFormat="false" ht="15" hidden="false" customHeight="false" outlineLevel="0" collapsed="false">
      <c r="A7" s="5" t="s">
        <v>203</v>
      </c>
      <c r="B7" s="5" t="n">
        <f aca="false">COUNTIF('Mobile &amp; Web (34)'!$D$2:$D$35,$A7)</f>
        <v>0</v>
      </c>
      <c r="C7" s="5" t="n">
        <f aca="false">COUNTIF('Mobile &amp; Web (34)'!$E$2:$E$35,$A7)</f>
        <v>0</v>
      </c>
      <c r="D7" s="5" t="n">
        <f aca="false">COUNTIF('Mobile &amp; Web (34)'!$F$2:$F$35,$A7)</f>
        <v>0</v>
      </c>
      <c r="E7" s="5" t="n">
        <f aca="false">COUNTIF('Web Security'!$C$2:$C$36,$A7&amp;"*")</f>
        <v>0</v>
      </c>
    </row>
    <row r="8" customFormat="false" ht="15" hidden="false" customHeight="false" outlineLevel="0" collapsed="false">
      <c r="A8" s="6" t="s">
        <v>258</v>
      </c>
      <c r="B8" s="6" t="n">
        <f aca="false">SUM(B2:B7)</f>
        <v>34</v>
      </c>
      <c r="C8" s="6" t="n">
        <f aca="false">SUM(C2:C7)</f>
        <v>34</v>
      </c>
      <c r="D8" s="6" t="n">
        <f aca="false">SUM(D2:D7)</f>
        <v>34</v>
      </c>
      <c r="E8" s="6" t="n">
        <f aca="false">SUM(E2:E7)</f>
        <v>35</v>
      </c>
    </row>
    <row r="10" customFormat="false" ht="15" hidden="false" customHeight="false" outlineLevel="0" collapsed="false">
      <c r="A10" s="7" t="s">
        <v>259</v>
      </c>
    </row>
    <row r="11" customFormat="false" ht="15" hidden="false" customHeight="false" outlineLevel="0" collapsed="false">
      <c r="A11" s="8" t="s">
        <v>260</v>
      </c>
    </row>
    <row r="12" customFormat="false" ht="15" hidden="false" customHeight="false" outlineLevel="0" collapsed="false">
      <c r="A12" s="8" t="s">
        <v>261</v>
      </c>
    </row>
    <row r="13" customFormat="false" ht="15" hidden="false" customHeight="false" outlineLevel="0" collapsed="false">
      <c r="A13" s="8" t="s">
        <v>262</v>
      </c>
    </row>
    <row r="14" customFormat="false" ht="15" hidden="false" customHeight="false" outlineLevel="0" collapsed="false">
      <c r="A14" s="8" t="s">
        <v>263</v>
      </c>
    </row>
    <row r="15" customFormat="false" ht="15" hidden="false" customHeight="false" outlineLevel="0" collapsed="false">
      <c r="A15" s="8" t="s">
        <v>264</v>
      </c>
    </row>
    <row r="16" customFormat="false" ht="15" hidden="false" customHeight="false" outlineLevel="0" collapsed="false">
      <c r="A16" s="8" t="s">
        <v>265</v>
      </c>
    </row>
    <row r="17" customFormat="false" ht="15" hidden="false" customHeight="false" outlineLevel="0" collapsed="false">
      <c r="A17" s="8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2026-10-13T11:14:59Z</dcterms:created>
  <dc:creator>openpyxl</dc:creator>
  <dc:description/>
  <dc:language>en-US</dc:language>
  <cp:lastModifiedBy/>
  <dcterms:modified xsi:type="dcterms:W3CDTF">2026-10-13T11:14:59Z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